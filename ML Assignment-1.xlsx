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<sst xmlns="http://schemas.openxmlformats.org/spreadsheetml/2006/main" count="55" uniqueCount="45">
  <si>
    <t>X</t>
  </si>
  <si>
    <t>Y</t>
  </si>
  <si>
    <t>Matrix A</t>
  </si>
  <si>
    <t>Transpose Matrix of A ( A^T )</t>
  </si>
  <si>
    <t>Slope, m</t>
  </si>
  <si>
    <t>Interception, c</t>
  </si>
  <si>
    <t>A^T x A</t>
  </si>
  <si>
    <t>( A^T x A) ^-1</t>
  </si>
  <si>
    <t>A^T x Y</t>
  </si>
  <si>
    <t xml:space="preserve">Correlation </t>
  </si>
  <si>
    <t>b matrix</t>
  </si>
  <si>
    <t>m</t>
  </si>
  <si>
    <t>c</t>
  </si>
  <si>
    <t>y=mx+c</t>
  </si>
  <si>
    <t>Multiple R</t>
  </si>
  <si>
    <t>R^2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</si>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</sst>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9" fillId="0" fontId="1" numFmtId="0" xfId="0" applyBorder="1" applyFont="1"/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8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vs. X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Sheet2!$B$3:$B$8</c:f>
            </c:numRef>
          </c:xVal>
          <c:yVal>
            <c:numRef>
              <c:f>Sheet2!$C$3:$C$8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601396"/>
        <c:axId val="1224286266"/>
      </c:scatterChart>
      <c:valAx>
        <c:axId val="527601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286266"/>
      </c:valAx>
      <c:valAx>
        <c:axId val="122428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601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 Variable 1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Sheet2!$B$3:$B$8</c:f>
            </c:numRef>
          </c:xVal>
          <c:yVal>
            <c:numRef>
              <c:f>Sheet2!$D$42:$D$48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101262"/>
        <c:axId val="273503971"/>
      </c:scatterChart>
      <c:valAx>
        <c:axId val="1341101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503971"/>
      </c:valAx>
      <c:valAx>
        <c:axId val="273503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101262"/>
      </c:valAx>
    </c:plotArea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 Variable 1 Line Fit Plot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Sheet2!$B$3:$B$8</c:f>
            </c:numRef>
          </c:xVal>
          <c:yVal>
            <c:numRef>
              <c:f>Sheet2!$C$42:$C$48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diamond"/>
            <c:size val="10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Sheet2!$B$3:$B$8</c:f>
            </c:numRef>
          </c:xVal>
          <c:yVal>
            <c:numRef>
              <c:f>Sheet2!$C$3:$C$8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507801"/>
        <c:axId val="1529099734"/>
      </c:scatterChart>
      <c:valAx>
        <c:axId val="15555078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099734"/>
      </c:valAx>
      <c:valAx>
        <c:axId val="1529099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507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1</xdr:row>
      <xdr:rowOff>180975</xdr:rowOff>
    </xdr:from>
    <xdr:ext cx="3514725" cy="2171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18</xdr:row>
      <xdr:rowOff>9525</xdr:rowOff>
    </xdr:from>
    <xdr:ext cx="5715000" cy="35337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9525</xdr:colOff>
      <xdr:row>26</xdr:row>
      <xdr:rowOff>9525</xdr:rowOff>
    </xdr:from>
    <xdr:ext cx="5715000" cy="3533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1"/>
      <c r="M1" s="2"/>
    </row>
    <row r="2">
      <c r="A2" s="1"/>
      <c r="B2" s="3" t="s">
        <v>0</v>
      </c>
      <c r="C2" s="3" t="s">
        <v>1</v>
      </c>
      <c r="D2" s="2"/>
      <c r="E2" s="4" t="s">
        <v>2</v>
      </c>
      <c r="F2" s="5"/>
      <c r="G2" s="1"/>
      <c r="H2" s="4" t="s">
        <v>3</v>
      </c>
      <c r="I2" s="6"/>
      <c r="J2" s="6"/>
      <c r="K2" s="6"/>
      <c r="L2" s="6"/>
      <c r="M2" s="5"/>
    </row>
    <row r="3">
      <c r="A3" s="1"/>
      <c r="B3" s="7">
        <v>4.0</v>
      </c>
      <c r="C3" s="7">
        <v>16.0</v>
      </c>
      <c r="D3" s="2"/>
      <c r="E3" s="7">
        <v>4.0</v>
      </c>
      <c r="F3" s="7">
        <v>1.0</v>
      </c>
      <c r="G3" s="1"/>
      <c r="H3" s="7">
        <f t="array" ref="H3:M4">TRANSPOSE(E3:F8)</f>
        <v>4</v>
      </c>
      <c r="I3" s="7">
        <v>3.0</v>
      </c>
      <c r="J3" s="7">
        <v>7.0</v>
      </c>
      <c r="K3" s="7">
        <v>2.0</v>
      </c>
      <c r="L3" s="7">
        <v>6.0</v>
      </c>
      <c r="M3" s="8">
        <v>8.0</v>
      </c>
    </row>
    <row r="4">
      <c r="A4" s="1"/>
      <c r="B4" s="7">
        <v>3.0</v>
      </c>
      <c r="C4" s="7">
        <v>12.0</v>
      </c>
      <c r="D4" s="2"/>
      <c r="E4" s="7">
        <v>3.0</v>
      </c>
      <c r="F4" s="7">
        <v>1.0</v>
      </c>
      <c r="G4" s="1"/>
      <c r="H4" s="7">
        <v>1.0</v>
      </c>
      <c r="I4" s="7">
        <v>1.0</v>
      </c>
      <c r="J4" s="7">
        <v>1.0</v>
      </c>
      <c r="K4" s="7">
        <v>1.0</v>
      </c>
      <c r="L4" s="7">
        <v>1.0</v>
      </c>
      <c r="M4" s="8">
        <v>1.0</v>
      </c>
    </row>
    <row r="5">
      <c r="A5" s="1"/>
      <c r="B5" s="7">
        <v>7.0</v>
      </c>
      <c r="C5" s="7">
        <v>20.0</v>
      </c>
      <c r="D5" s="2"/>
      <c r="E5" s="7">
        <v>7.0</v>
      </c>
      <c r="F5" s="7">
        <v>1.0</v>
      </c>
      <c r="G5" s="2"/>
      <c r="H5" s="2"/>
      <c r="I5" s="2"/>
      <c r="J5" s="2"/>
      <c r="K5" s="2"/>
      <c r="L5" s="2"/>
      <c r="M5" s="2"/>
    </row>
    <row r="6">
      <c r="A6" s="1"/>
      <c r="B6" s="7">
        <v>2.0</v>
      </c>
      <c r="C6" s="7">
        <v>17.0</v>
      </c>
      <c r="D6" s="2"/>
      <c r="E6" s="7">
        <v>2.0</v>
      </c>
      <c r="F6" s="7">
        <v>1.0</v>
      </c>
      <c r="G6" s="2"/>
      <c r="H6" s="2"/>
      <c r="I6" s="2"/>
      <c r="J6" s="2"/>
      <c r="K6" s="2"/>
      <c r="L6" s="2"/>
      <c r="M6" s="2"/>
    </row>
    <row r="7">
      <c r="A7" s="1"/>
      <c r="B7" s="7">
        <v>6.0</v>
      </c>
      <c r="C7" s="7">
        <v>18.0</v>
      </c>
      <c r="D7" s="2"/>
      <c r="E7" s="7">
        <v>6.0</v>
      </c>
      <c r="F7" s="7">
        <v>1.0</v>
      </c>
      <c r="G7" s="2"/>
      <c r="H7" s="2"/>
      <c r="I7" s="2"/>
      <c r="J7" s="2"/>
      <c r="K7" s="2"/>
      <c r="L7" s="2"/>
      <c r="M7" s="2"/>
    </row>
    <row r="8">
      <c r="A8" s="1"/>
      <c r="B8" s="7">
        <v>8.0</v>
      </c>
      <c r="C8" s="7">
        <v>25.0</v>
      </c>
      <c r="D8" s="2"/>
      <c r="E8" s="7">
        <v>8.0</v>
      </c>
      <c r="F8" s="7">
        <v>1.0</v>
      </c>
      <c r="G8" s="2"/>
      <c r="H8" s="2"/>
      <c r="I8" s="2"/>
      <c r="J8" s="2"/>
      <c r="K8" s="2"/>
      <c r="L8" s="2"/>
      <c r="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/>
      <c r="B10" s="3" t="s">
        <v>4</v>
      </c>
      <c r="C10" s="8">
        <f>SLOPE(C3:C8,B3:B8)</f>
        <v>1.5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>
      <c r="A11" s="2"/>
      <c r="B11" s="3" t="s">
        <v>5</v>
      </c>
      <c r="C11" s="8">
        <f>INTERCEPT(C3:C8,B3:B8)</f>
        <v>10.5</v>
      </c>
      <c r="D11" s="2"/>
      <c r="E11" s="4" t="s">
        <v>6</v>
      </c>
      <c r="F11" s="5"/>
      <c r="G11" s="2"/>
      <c r="H11" s="4" t="s">
        <v>7</v>
      </c>
      <c r="I11" s="5"/>
      <c r="J11" s="2"/>
      <c r="K11" s="3" t="s">
        <v>8</v>
      </c>
      <c r="L11" s="2"/>
      <c r="M11" s="2"/>
    </row>
    <row r="12">
      <c r="A12" s="2"/>
      <c r="B12" s="3" t="s">
        <v>9</v>
      </c>
      <c r="C12" s="8">
        <f>CORREL(C3:C8,B3:B8)</f>
        <v>0.8186652344</v>
      </c>
      <c r="D12" s="2"/>
      <c r="E12" s="8">
        <f t="array" ref="E12:F13">MMULT(H3:M4,E3:F8)</f>
        <v>178</v>
      </c>
      <c r="F12" s="8">
        <v>30.0</v>
      </c>
      <c r="G12" s="2"/>
      <c r="H12" s="8">
        <f t="array" ref="H12:I13">MINVERSE(E12:F13)</f>
        <v>0.03571428571</v>
      </c>
      <c r="I12" s="8">
        <v>-0.17857142857142846</v>
      </c>
      <c r="J12" s="2"/>
      <c r="K12" s="8">
        <f t="array" ref="K12:K13">MMULT(H3:M4,C3:C8)</f>
        <v>582</v>
      </c>
      <c r="L12" s="2"/>
      <c r="M12" s="2"/>
    </row>
    <row r="13">
      <c r="A13" s="2"/>
      <c r="B13" s="2"/>
      <c r="C13" s="2"/>
      <c r="D13" s="2"/>
      <c r="E13" s="8">
        <v>30.0</v>
      </c>
      <c r="F13" s="8">
        <v>6.0</v>
      </c>
      <c r="G13" s="2"/>
      <c r="H13" s="8">
        <v>-0.17857142857142846</v>
      </c>
      <c r="I13" s="8">
        <v>1.0595238095238089</v>
      </c>
      <c r="J13" s="2"/>
      <c r="K13" s="8">
        <v>108.0</v>
      </c>
      <c r="L13" s="2"/>
      <c r="M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1"/>
      <c r="B15" s="2"/>
      <c r="C15" s="9"/>
      <c r="D15" s="9"/>
      <c r="E15" s="9"/>
      <c r="F15" s="9"/>
      <c r="G15" s="9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4" t="s">
        <v>10</v>
      </c>
      <c r="F16" s="5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7" t="s">
        <v>11</v>
      </c>
      <c r="F17" s="8">
        <f t="array" ref="F17:F18">MMULT(H12:I13,K12:K13)</f>
        <v>1.5</v>
      </c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7" t="s">
        <v>12</v>
      </c>
      <c r="F18" s="8">
        <v>10.5</v>
      </c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</sheetData>
  <mergeCells count="5">
    <mergeCell ref="E2:F2"/>
    <mergeCell ref="H2:M2"/>
    <mergeCell ref="E11:F11"/>
    <mergeCell ref="H11:I11"/>
    <mergeCell ref="E16:F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/>
      <c r="G1" s="10"/>
      <c r="H1" s="10"/>
      <c r="I1" s="10"/>
      <c r="J1" s="10"/>
      <c r="K1" s="10"/>
      <c r="L1" s="10"/>
    </row>
    <row r="2">
      <c r="A2" s="1"/>
      <c r="B2" s="3" t="s">
        <v>0</v>
      </c>
      <c r="C2" s="3" t="s">
        <v>1</v>
      </c>
      <c r="D2" s="2"/>
      <c r="E2" s="7" t="s">
        <v>13</v>
      </c>
      <c r="F2" s="10"/>
      <c r="G2" s="10"/>
      <c r="H2" s="10"/>
      <c r="I2" s="10"/>
      <c r="J2" s="10"/>
      <c r="K2" s="10"/>
      <c r="L2" s="10"/>
      <c r="M2" s="10"/>
    </row>
    <row r="3">
      <c r="A3" s="1"/>
      <c r="B3" s="7">
        <v>4.0</v>
      </c>
      <c r="C3" s="7">
        <v>16.0</v>
      </c>
      <c r="D3" s="2"/>
      <c r="E3" s="8">
        <f t="shared" ref="E3:E8" si="1">(1.5*B3)+10.5</f>
        <v>16.5</v>
      </c>
      <c r="F3" s="10"/>
      <c r="G3" s="10"/>
      <c r="H3" s="10"/>
      <c r="I3" s="10"/>
      <c r="J3" s="10"/>
      <c r="K3" s="10"/>
      <c r="L3" s="10"/>
    </row>
    <row r="4">
      <c r="A4" s="1"/>
      <c r="B4" s="7">
        <v>3.0</v>
      </c>
      <c r="C4" s="7">
        <v>12.0</v>
      </c>
      <c r="D4" s="2"/>
      <c r="E4" s="8">
        <f t="shared" si="1"/>
        <v>15</v>
      </c>
      <c r="F4" s="10"/>
      <c r="G4" s="10"/>
      <c r="H4" s="10"/>
      <c r="I4" s="10"/>
      <c r="J4" s="10"/>
      <c r="K4" s="10"/>
      <c r="L4" s="10"/>
    </row>
    <row r="5">
      <c r="A5" s="1"/>
      <c r="B5" s="7">
        <v>7.0</v>
      </c>
      <c r="C5" s="7">
        <v>20.0</v>
      </c>
      <c r="D5" s="2"/>
      <c r="E5" s="8">
        <f t="shared" si="1"/>
        <v>21</v>
      </c>
      <c r="F5" s="10"/>
    </row>
    <row r="6">
      <c r="A6" s="1"/>
      <c r="B6" s="7">
        <v>2.0</v>
      </c>
      <c r="C6" s="7">
        <v>17.0</v>
      </c>
      <c r="D6" s="2"/>
      <c r="E6" s="8">
        <f t="shared" si="1"/>
        <v>13.5</v>
      </c>
      <c r="F6" s="10"/>
    </row>
    <row r="7">
      <c r="A7" s="1"/>
      <c r="B7" s="7">
        <v>6.0</v>
      </c>
      <c r="C7" s="7">
        <v>18.0</v>
      </c>
      <c r="D7" s="2"/>
      <c r="E7" s="8">
        <f t="shared" si="1"/>
        <v>19.5</v>
      </c>
      <c r="F7" s="10"/>
    </row>
    <row r="8">
      <c r="A8" s="1"/>
      <c r="B8" s="7">
        <v>8.0</v>
      </c>
      <c r="C8" s="7">
        <v>25.0</v>
      </c>
      <c r="D8" s="2"/>
      <c r="E8" s="8">
        <f t="shared" si="1"/>
        <v>22.5</v>
      </c>
      <c r="F8" s="10"/>
    </row>
    <row r="9">
      <c r="A9" s="2"/>
      <c r="B9" s="2"/>
      <c r="C9" s="2"/>
      <c r="D9" s="2"/>
    </row>
    <row r="10">
      <c r="A10" s="2"/>
      <c r="B10" s="3" t="s">
        <v>4</v>
      </c>
      <c r="C10" s="8">
        <f>SLOPE(C3:C8,B3:B8)</f>
        <v>1.5</v>
      </c>
      <c r="D10" s="2"/>
      <c r="E10" s="11"/>
    </row>
    <row r="11">
      <c r="A11" s="2"/>
      <c r="B11" s="3" t="s">
        <v>5</v>
      </c>
      <c r="C11" s="8">
        <f>INTERCEPT(C3:C8,B3:B8)</f>
        <v>10.5</v>
      </c>
      <c r="D11" s="2"/>
      <c r="E11" s="12" t="s">
        <v>14</v>
      </c>
      <c r="F11" s="10"/>
      <c r="H11" s="10"/>
      <c r="I11" s="10"/>
      <c r="K11" s="10"/>
    </row>
    <row r="12">
      <c r="A12" s="2"/>
      <c r="B12" s="3" t="s">
        <v>9</v>
      </c>
      <c r="C12" s="8">
        <f>CORREL(C3:C8,B3:B8)</f>
        <v>0.8186652344</v>
      </c>
      <c r="D12" s="2"/>
      <c r="E12" s="13">
        <f>CORREL(C3:C8,E3:E8)</f>
        <v>0.8186652344</v>
      </c>
    </row>
    <row r="13">
      <c r="A13" s="2"/>
      <c r="B13" s="2"/>
      <c r="C13" s="2"/>
      <c r="D13" s="2"/>
      <c r="E13" s="11"/>
    </row>
    <row r="14">
      <c r="A14" s="2"/>
      <c r="B14" s="2"/>
      <c r="C14" s="2"/>
      <c r="D14" s="2"/>
      <c r="E14" s="7" t="s">
        <v>15</v>
      </c>
    </row>
    <row r="15">
      <c r="A15" s="1"/>
      <c r="B15" s="2"/>
      <c r="C15" s="9"/>
      <c r="D15" s="9"/>
      <c r="E15" s="14">
        <f>E12*E12</f>
        <v>0.670212766</v>
      </c>
      <c r="F15" s="10"/>
      <c r="G15" s="10"/>
    </row>
    <row r="16">
      <c r="A16" s="2"/>
      <c r="B16" s="10"/>
      <c r="D16" s="2"/>
      <c r="E16" s="10"/>
      <c r="F16" s="10"/>
    </row>
    <row r="17">
      <c r="A17" s="2"/>
      <c r="D17" s="2"/>
      <c r="E17" s="10"/>
    </row>
    <row r="18">
      <c r="A18" s="15"/>
      <c r="B18" s="16"/>
      <c r="C18" s="16"/>
      <c r="D18" s="17"/>
      <c r="E18" s="18"/>
      <c r="F18" s="16"/>
      <c r="G18" s="16"/>
      <c r="H18" s="16"/>
      <c r="I18" s="16"/>
      <c r="J18" s="16"/>
      <c r="K18" s="16"/>
      <c r="L18" s="16"/>
      <c r="M18" s="16"/>
      <c r="N18" s="16"/>
      <c r="O18" s="19"/>
    </row>
    <row r="19">
      <c r="A19" s="20"/>
      <c r="B19" s="21" t="s">
        <v>16</v>
      </c>
      <c r="D19" s="2"/>
      <c r="E19" s="2"/>
      <c r="F19" s="2"/>
      <c r="G19" s="2"/>
      <c r="H19" s="2"/>
      <c r="I19" s="2"/>
      <c r="J19" s="2"/>
      <c r="K19" s="2"/>
      <c r="L19" s="2"/>
      <c r="M19" s="2"/>
      <c r="O19" s="22"/>
    </row>
    <row r="20">
      <c r="A20" s="20"/>
      <c r="D20" s="2"/>
      <c r="E20" s="2"/>
      <c r="F20" s="2"/>
      <c r="G20" s="2"/>
      <c r="H20" s="2"/>
      <c r="I20" s="2"/>
      <c r="J20" s="2"/>
      <c r="K20" s="2"/>
      <c r="L20" s="2"/>
      <c r="M20" s="2"/>
      <c r="O20" s="22"/>
    </row>
    <row r="21">
      <c r="A21" s="20"/>
      <c r="B21" s="23" t="s">
        <v>17</v>
      </c>
      <c r="C21" s="24"/>
      <c r="D21" s="2"/>
      <c r="E21" s="2"/>
      <c r="F21" s="2"/>
      <c r="G21" s="2"/>
      <c r="H21" s="2"/>
      <c r="I21" s="2"/>
      <c r="J21" s="2"/>
      <c r="K21" s="2"/>
      <c r="L21" s="2"/>
      <c r="M21" s="2"/>
      <c r="O21" s="22"/>
    </row>
    <row r="22">
      <c r="A22" s="20"/>
      <c r="B22" s="21" t="s">
        <v>14</v>
      </c>
      <c r="C22" s="25">
        <v>0.818665234364723</v>
      </c>
      <c r="D22" s="2"/>
      <c r="E22" s="2"/>
      <c r="F22" s="2"/>
      <c r="G22" s="2"/>
      <c r="H22" s="2"/>
      <c r="I22" s="2"/>
      <c r="J22" s="2"/>
      <c r="K22" s="2"/>
      <c r="L22" s="2"/>
      <c r="O22" s="22"/>
    </row>
    <row r="23">
      <c r="A23" s="20"/>
      <c r="B23" s="21" t="s">
        <v>18</v>
      </c>
      <c r="C23" s="26">
        <v>0.6702127659574468</v>
      </c>
      <c r="D23" s="2"/>
      <c r="E23" s="2"/>
      <c r="F23" s="2"/>
      <c r="G23" s="2"/>
      <c r="H23" s="2"/>
      <c r="I23" s="2"/>
      <c r="J23" s="2"/>
      <c r="K23" s="2"/>
      <c r="L23" s="2"/>
      <c r="O23" s="22"/>
    </row>
    <row r="24">
      <c r="A24" s="20"/>
      <c r="B24" s="21" t="s">
        <v>19</v>
      </c>
      <c r="C24" s="26">
        <v>0.5877659574468086</v>
      </c>
      <c r="D24" s="2"/>
      <c r="E24" s="2"/>
      <c r="F24" s="2"/>
      <c r="G24" s="2"/>
      <c r="H24" s="2"/>
      <c r="I24" s="2"/>
      <c r="J24" s="2"/>
      <c r="K24" s="2"/>
      <c r="L24" s="2"/>
      <c r="O24" s="22"/>
    </row>
    <row r="25">
      <c r="A25" s="20"/>
      <c r="B25" s="21" t="s">
        <v>20</v>
      </c>
      <c r="C25" s="26">
        <v>2.7838821814150108</v>
      </c>
      <c r="D25" s="2"/>
      <c r="E25" s="2"/>
      <c r="F25" s="2"/>
      <c r="G25" s="2"/>
      <c r="H25" s="2"/>
      <c r="I25" s="2"/>
      <c r="J25" s="2"/>
      <c r="K25" s="2"/>
      <c r="L25" s="2"/>
      <c r="O25" s="22"/>
    </row>
    <row r="26">
      <c r="A26" s="20"/>
      <c r="B26" s="21" t="s">
        <v>21</v>
      </c>
      <c r="C26" s="26">
        <v>6.0</v>
      </c>
      <c r="D26" s="2"/>
      <c r="E26" s="2"/>
      <c r="F26" s="2"/>
      <c r="G26" s="2"/>
      <c r="H26" s="2"/>
      <c r="I26" s="2"/>
      <c r="J26" s="2"/>
      <c r="K26" s="2"/>
      <c r="L26" s="2"/>
      <c r="O26" s="22"/>
    </row>
    <row r="27">
      <c r="A27" s="2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O27" s="22"/>
    </row>
    <row r="28">
      <c r="A28" s="20"/>
      <c r="B28" s="1" t="s">
        <v>22</v>
      </c>
      <c r="C28" s="2"/>
      <c r="D28" s="2"/>
      <c r="E28" s="2"/>
      <c r="F28" s="2"/>
      <c r="G28" s="2"/>
      <c r="H28" s="2"/>
      <c r="I28" s="2"/>
      <c r="J28" s="2"/>
      <c r="K28" s="2"/>
      <c r="L28" s="2"/>
      <c r="O28" s="22"/>
    </row>
    <row r="29">
      <c r="A29" s="20"/>
      <c r="B29" s="24"/>
      <c r="C29" s="23" t="s">
        <v>23</v>
      </c>
      <c r="D29" s="23" t="s">
        <v>24</v>
      </c>
      <c r="E29" s="23" t="s">
        <v>25</v>
      </c>
      <c r="F29" s="23" t="s">
        <v>26</v>
      </c>
      <c r="G29" s="23" t="s">
        <v>27</v>
      </c>
      <c r="H29" s="2"/>
      <c r="I29" s="2"/>
      <c r="J29" s="2"/>
      <c r="K29" s="2"/>
      <c r="L29" s="2"/>
      <c r="O29" s="22"/>
    </row>
    <row r="30">
      <c r="A30" s="20"/>
      <c r="B30" s="1" t="s">
        <v>28</v>
      </c>
      <c r="C30" s="26">
        <v>1.0</v>
      </c>
      <c r="D30" s="26">
        <v>63.0</v>
      </c>
      <c r="E30" s="26">
        <v>63.0</v>
      </c>
      <c r="F30" s="26">
        <v>8.129032258064516</v>
      </c>
      <c r="G30" s="26">
        <v>0.04634209378243892</v>
      </c>
      <c r="H30" s="2"/>
      <c r="I30" s="2"/>
      <c r="J30" s="2"/>
      <c r="K30" s="2"/>
      <c r="L30" s="2"/>
      <c r="O30" s="22"/>
    </row>
    <row r="31">
      <c r="A31" s="20"/>
      <c r="B31" s="1" t="s">
        <v>29</v>
      </c>
      <c r="C31" s="26">
        <v>4.0</v>
      </c>
      <c r="D31" s="26">
        <v>31.0</v>
      </c>
      <c r="E31" s="26">
        <v>7.75</v>
      </c>
      <c r="F31" s="2"/>
      <c r="G31" s="2"/>
      <c r="H31" s="2"/>
      <c r="I31" s="2"/>
      <c r="J31" s="2"/>
      <c r="K31" s="2"/>
      <c r="L31" s="2"/>
      <c r="O31" s="22"/>
    </row>
    <row r="32">
      <c r="A32" s="20"/>
      <c r="B32" s="1" t="s">
        <v>30</v>
      </c>
      <c r="C32" s="26">
        <v>5.0</v>
      </c>
      <c r="D32" s="26">
        <v>94.0</v>
      </c>
      <c r="E32" s="2"/>
      <c r="F32" s="2"/>
      <c r="G32" s="2"/>
      <c r="H32" s="2"/>
      <c r="I32" s="2"/>
      <c r="J32" s="2"/>
      <c r="K32" s="2"/>
      <c r="L32" s="2"/>
      <c r="O32" s="22"/>
    </row>
    <row r="33">
      <c r="A33" s="2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O33" s="22"/>
    </row>
    <row r="34">
      <c r="A34" s="20"/>
      <c r="B34" s="24"/>
      <c r="C34" s="23" t="s">
        <v>31</v>
      </c>
      <c r="D34" s="23" t="s">
        <v>20</v>
      </c>
      <c r="E34" s="23" t="s">
        <v>32</v>
      </c>
      <c r="F34" s="23" t="s">
        <v>33</v>
      </c>
      <c r="G34" s="23" t="s">
        <v>34</v>
      </c>
      <c r="H34" s="23" t="s">
        <v>35</v>
      </c>
      <c r="I34" s="23" t="s">
        <v>34</v>
      </c>
      <c r="J34" s="23" t="s">
        <v>35</v>
      </c>
      <c r="K34" s="2"/>
      <c r="L34" s="2"/>
      <c r="O34" s="22"/>
    </row>
    <row r="35">
      <c r="A35" s="20"/>
      <c r="B35" s="1" t="s">
        <v>36</v>
      </c>
      <c r="C35" s="26">
        <v>10.5</v>
      </c>
      <c r="D35" s="26">
        <v>2.8655382607477997</v>
      </c>
      <c r="E35" s="26">
        <v>3.664233049626037</v>
      </c>
      <c r="F35" s="26">
        <v>0.021499991773411664</v>
      </c>
      <c r="G35" s="26">
        <v>2.5439903419215435</v>
      </c>
      <c r="H35" s="26">
        <v>18.456009658078457</v>
      </c>
      <c r="I35" s="26">
        <v>2.5439903419215435</v>
      </c>
      <c r="J35" s="26">
        <v>18.456009658078457</v>
      </c>
      <c r="K35" s="2"/>
      <c r="L35" s="2"/>
      <c r="O35" s="22"/>
    </row>
    <row r="36">
      <c r="A36" s="20"/>
      <c r="B36" s="1" t="s">
        <v>37</v>
      </c>
      <c r="C36" s="26">
        <v>1.5</v>
      </c>
      <c r="D36" s="26">
        <v>0.5261042808091512</v>
      </c>
      <c r="E36" s="26">
        <v>2.8511457798689492</v>
      </c>
      <c r="F36" s="26">
        <v>0.04634209401130676</v>
      </c>
      <c r="G36" s="26">
        <v>0.039300348346521075</v>
      </c>
      <c r="H36" s="26">
        <v>2.9606996516534787</v>
      </c>
      <c r="I36" s="26">
        <v>0.039300348346521075</v>
      </c>
      <c r="J36" s="26">
        <v>2.9606996516534787</v>
      </c>
      <c r="K36" s="2"/>
      <c r="L36" s="2"/>
      <c r="O36" s="22"/>
    </row>
    <row r="37">
      <c r="A37" s="2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O37" s="22"/>
    </row>
    <row r="38">
      <c r="A38" s="2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O38" s="22"/>
    </row>
    <row r="39">
      <c r="A39" s="2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O39" s="22"/>
    </row>
    <row r="40">
      <c r="A40" s="20"/>
      <c r="B40" s="1" t="s">
        <v>38</v>
      </c>
      <c r="C40" s="2"/>
      <c r="D40" s="2"/>
      <c r="E40" s="2"/>
      <c r="F40" s="2"/>
      <c r="G40" s="1" t="s">
        <v>39</v>
      </c>
      <c r="H40" s="2"/>
      <c r="I40" s="2"/>
      <c r="J40" s="2"/>
      <c r="K40" s="2"/>
      <c r="L40" s="2"/>
      <c r="O40" s="22"/>
    </row>
    <row r="41">
      <c r="A41" s="2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O41" s="22"/>
    </row>
    <row r="42">
      <c r="A42" s="20"/>
      <c r="B42" s="23" t="s">
        <v>40</v>
      </c>
      <c r="C42" s="23" t="s">
        <v>41</v>
      </c>
      <c r="D42" s="23" t="s">
        <v>42</v>
      </c>
      <c r="E42" s="23" t="s">
        <v>43</v>
      </c>
      <c r="F42" s="2"/>
      <c r="G42" s="23" t="s">
        <v>44</v>
      </c>
      <c r="H42" s="23" t="s">
        <v>1</v>
      </c>
      <c r="I42" s="2"/>
      <c r="J42" s="2"/>
      <c r="K42" s="2"/>
      <c r="L42" s="2"/>
      <c r="O42" s="22"/>
    </row>
    <row r="43">
      <c r="A43" s="27"/>
      <c r="B43" s="25">
        <v>1.0</v>
      </c>
      <c r="C43" s="25">
        <v>16.5</v>
      </c>
      <c r="D43" s="25">
        <v>-0.5</v>
      </c>
      <c r="E43" s="25">
        <v>-0.20080483222562473</v>
      </c>
      <c r="G43" s="25">
        <v>8.333333333333334</v>
      </c>
      <c r="H43" s="25">
        <v>12.0</v>
      </c>
      <c r="O43" s="22"/>
    </row>
    <row r="44">
      <c r="A44" s="27"/>
      <c r="B44" s="25">
        <v>2.0</v>
      </c>
      <c r="C44" s="25">
        <v>15.0</v>
      </c>
      <c r="D44" s="25">
        <v>-3.0</v>
      </c>
      <c r="E44" s="25">
        <v>-1.2048289933537484</v>
      </c>
      <c r="G44" s="25">
        <v>25.0</v>
      </c>
      <c r="H44" s="25">
        <v>16.0</v>
      </c>
      <c r="O44" s="22"/>
    </row>
    <row r="45">
      <c r="A45" s="27"/>
      <c r="B45" s="25">
        <v>3.0</v>
      </c>
      <c r="C45" s="25">
        <v>21.0</v>
      </c>
      <c r="D45" s="25">
        <v>-1.0</v>
      </c>
      <c r="E45" s="25">
        <v>-0.40160966445124946</v>
      </c>
      <c r="G45" s="25">
        <v>41.66666666666667</v>
      </c>
      <c r="H45" s="25">
        <v>17.0</v>
      </c>
      <c r="O45" s="22"/>
    </row>
    <row r="46">
      <c r="A46" s="27"/>
      <c r="B46" s="25">
        <v>4.0</v>
      </c>
      <c r="C46" s="25">
        <v>13.5</v>
      </c>
      <c r="D46" s="25">
        <v>3.5</v>
      </c>
      <c r="E46" s="25">
        <v>1.405633825579373</v>
      </c>
      <c r="G46" s="25">
        <v>58.333333333333336</v>
      </c>
      <c r="H46" s="25">
        <v>18.0</v>
      </c>
      <c r="O46" s="22"/>
    </row>
    <row r="47">
      <c r="A47" s="27"/>
      <c r="B47" s="25">
        <v>5.0</v>
      </c>
      <c r="C47" s="25">
        <v>19.5</v>
      </c>
      <c r="D47" s="25">
        <v>-1.5</v>
      </c>
      <c r="E47" s="25">
        <v>-0.6024144966768742</v>
      </c>
      <c r="G47" s="25">
        <v>75.0</v>
      </c>
      <c r="H47" s="25">
        <v>20.0</v>
      </c>
      <c r="O47" s="22"/>
    </row>
    <row r="48">
      <c r="A48" s="27"/>
      <c r="B48" s="25">
        <v>6.0</v>
      </c>
      <c r="C48" s="25">
        <v>22.5</v>
      </c>
      <c r="D48" s="25">
        <v>2.5</v>
      </c>
      <c r="E48" s="25">
        <v>1.0040241611281235</v>
      </c>
      <c r="G48" s="25">
        <v>91.66666666666667</v>
      </c>
      <c r="H48" s="25">
        <v>25.0</v>
      </c>
      <c r="O48" s="22"/>
    </row>
    <row r="49">
      <c r="A49" s="27"/>
      <c r="O49" s="22"/>
    </row>
    <row r="50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</row>
  </sheetData>
  <drawing r:id="rId1"/>
</worksheet>
</file>